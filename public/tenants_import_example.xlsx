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uay\Downloads\"/>
    </mc:Choice>
  </mc:AlternateContent>
  <xr:revisionPtr revIDLastSave="0" documentId="8_{83B955D8-6840-44E5-8625-EFC96415880C}" xr6:coauthVersionLast="47" xr6:coauthVersionMax="47" xr10:uidLastSave="{00000000-0000-0000-0000-000000000000}"/>
  <bookViews>
    <workbookView xWindow="-108" yWindow="-108" windowWidth="23256" windowHeight="12456" xr2:uid="{C88093E6-C17A-426A-83DD-D0BBC1F7F4CD}"/>
  </bookViews>
  <sheets>
    <sheet name="tenants_import_example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2" i="1"/>
  <c r="M2" i="1" s="1"/>
  <c r="J3" i="1"/>
  <c r="M3" i="1" s="1"/>
  <c r="J4" i="1"/>
  <c r="M4" i="1" s="1"/>
  <c r="J5" i="1"/>
  <c r="M5" i="1" s="1"/>
</calcChain>
</file>

<file path=xl/sharedStrings.xml><?xml version="1.0" encoding="utf-8"?>
<sst xmlns="http://schemas.openxmlformats.org/spreadsheetml/2006/main" count="53" uniqueCount="43">
  <si>
    <t>Name</t>
  </si>
  <si>
    <t>Property</t>
  </si>
  <si>
    <t>Email</t>
  </si>
  <si>
    <t>Phone</t>
  </si>
  <si>
    <t>MoveInDate</t>
  </si>
  <si>
    <t>Status</t>
  </si>
  <si>
    <t>UnitNumber</t>
  </si>
  <si>
    <t>Isaac Doua 1</t>
  </si>
  <si>
    <t>Abobo 1</t>
  </si>
  <si>
    <t>issacdoua@gmail.com1</t>
  </si>
  <si>
    <t>Active</t>
  </si>
  <si>
    <t>F1</t>
  </si>
  <si>
    <t>Isaac Doua 2</t>
  </si>
  <si>
    <t>Abobo 2</t>
  </si>
  <si>
    <t>issacdoua@gmail.com2</t>
  </si>
  <si>
    <t>F2</t>
  </si>
  <si>
    <t>Isaac Doua 3</t>
  </si>
  <si>
    <t>Abobo 3</t>
  </si>
  <si>
    <t>issacdoua@gmail.com3</t>
  </si>
  <si>
    <t>F3</t>
  </si>
  <si>
    <t>Isaac Doua 4</t>
  </si>
  <si>
    <t>Abobo 4</t>
  </si>
  <si>
    <t>issacdoua@gmail.com4</t>
  </si>
  <si>
    <t>F4</t>
  </si>
  <si>
    <t>Isaac Doua 5</t>
  </si>
  <si>
    <t>Abobo 5</t>
  </si>
  <si>
    <t>issacdoua@gmail.com5</t>
  </si>
  <si>
    <t>F5</t>
  </si>
  <si>
    <t>DepositValue</t>
  </si>
  <si>
    <t>Rent Paid In Advance</t>
  </si>
  <si>
    <t>Unpaid rent</t>
  </si>
  <si>
    <t>the number of months unpaid</t>
  </si>
  <si>
    <t>Month Unpaid</t>
  </si>
  <si>
    <t>Years</t>
  </si>
  <si>
    <t>Month paid In Advance</t>
  </si>
  <si>
    <t>Jan - feb</t>
  </si>
  <si>
    <t>feb-jun</t>
  </si>
  <si>
    <t>apr - jan</t>
  </si>
  <si>
    <t>2025-2026</t>
  </si>
  <si>
    <t>Penality to pay</t>
  </si>
  <si>
    <t>Status of lease contract</t>
  </si>
  <si>
    <t>RentAmount</t>
  </si>
  <si>
    <t>Balance to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</si>
</sst>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7" fillId="33" borderId="0" xfId="0" applyFont="1" applyFill="1"/>
    <xf numFmtId="0" fontId="0" fillId="0" borderId="0" xfId="0" applyAlignment="1">
      <alignment horizontal="right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1A6EA-59EB-4D3D-88D7-B628882127BF}">
  <dimension ref="A1:R20"/>
  <sheetViews>
    <sheetView tabSelected="1" workbookViewId="0">
      <selection activeCell="M5" sqref="M5"/>
    </sheetView>
  </sheetViews>
  <sheetFormatPr defaultRowHeight="14.4" x14ac:dyDescent="0.3"/>
  <cols>
    <col min="1" max="1" width="22.88671875" customWidth="1"/>
    <col min="2" max="2" width="13" customWidth="1"/>
    <col min="3" max="3" width="23" customWidth="1"/>
    <col min="4" max="4" width="15.77734375" customWidth="1"/>
    <col min="5" max="5" width="11.33203125" customWidth="1"/>
    <col min="6" max="6" width="15" customWidth="1"/>
    <col min="8" max="8" width="12.109375" customWidth="1"/>
    <col min="9" max="9" width="13.5546875" customWidth="1"/>
    <col min="10" max="10" width="19.21875" customWidth="1"/>
    <col min="11" max="11" width="18.6640625" customWidth="1"/>
    <col min="12" max="12" width="26.88671875" customWidth="1"/>
    <col min="13" max="13" width="20" customWidth="1"/>
    <col min="14" max="14" width="19.109375" customWidth="1"/>
    <col min="15" max="15" width="21.109375" customWidth="1"/>
    <col min="16" max="16" width="13.77734375" customWidth="1"/>
    <col min="17" max="17" width="12.21875" customWidth="1"/>
    <col min="18" max="18" width="20.109375" customWidth="1"/>
    <col min="19" max="20" width="22.77734375" customWidth="1"/>
  </cols>
  <sheetData>
    <row r="1" spans="1:18" ht="19.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41</v>
      </c>
      <c r="F1" s="2" t="s">
        <v>4</v>
      </c>
      <c r="G1" s="2" t="s">
        <v>5</v>
      </c>
      <c r="H1" s="2" t="s">
        <v>6</v>
      </c>
      <c r="I1" s="2" t="s">
        <v>28</v>
      </c>
      <c r="J1" s="2" t="s">
        <v>30</v>
      </c>
      <c r="K1" s="2" t="s">
        <v>29</v>
      </c>
      <c r="L1" s="2" t="s">
        <v>31</v>
      </c>
      <c r="M1" s="2" t="s">
        <v>42</v>
      </c>
      <c r="N1" s="2" t="s">
        <v>34</v>
      </c>
      <c r="O1" s="2" t="s">
        <v>32</v>
      </c>
      <c r="P1" s="2" t="s">
        <v>39</v>
      </c>
      <c r="Q1" s="2" t="s">
        <v>33</v>
      </c>
      <c r="R1" s="2" t="s">
        <v>40</v>
      </c>
    </row>
    <row r="2" spans="1:18" x14ac:dyDescent="0.3">
      <c r="A2" t="s">
        <v>7</v>
      </c>
      <c r="B2" t="s">
        <v>8</v>
      </c>
      <c r="C2" t="s">
        <v>9</v>
      </c>
      <c r="D2" s="4">
        <v>2250500385264</v>
      </c>
      <c r="E2">
        <v>50000</v>
      </c>
      <c r="F2" s="1">
        <v>46054</v>
      </c>
      <c r="G2" t="s">
        <v>10</v>
      </c>
      <c r="H2" t="s">
        <v>11</v>
      </c>
      <c r="I2">
        <v>250000</v>
      </c>
      <c r="J2">
        <f>L2*E2</f>
        <v>100000</v>
      </c>
      <c r="K2">
        <v>0</v>
      </c>
      <c r="L2">
        <v>2</v>
      </c>
      <c r="M2">
        <f t="shared" ref="M2:M4" si="0">J2</f>
        <v>100000</v>
      </c>
      <c r="N2" s="3"/>
      <c r="O2" t="s">
        <v>35</v>
      </c>
      <c r="P2">
        <v>10000</v>
      </c>
      <c r="Q2">
        <v>2026</v>
      </c>
      <c r="R2" s="3" t="s">
        <v>10</v>
      </c>
    </row>
    <row r="3" spans="1:18" x14ac:dyDescent="0.3">
      <c r="A3" t="s">
        <v>12</v>
      </c>
      <c r="B3" t="s">
        <v>13</v>
      </c>
      <c r="C3" t="s">
        <v>14</v>
      </c>
      <c r="D3" s="4">
        <v>2250778196566</v>
      </c>
      <c r="E3">
        <v>50000</v>
      </c>
      <c r="F3" s="1">
        <v>46054</v>
      </c>
      <c r="G3" t="s">
        <v>10</v>
      </c>
      <c r="H3" t="s">
        <v>15</v>
      </c>
      <c r="I3">
        <v>250000</v>
      </c>
      <c r="J3">
        <f>L3*E3</f>
        <v>0</v>
      </c>
      <c r="K3">
        <v>50000</v>
      </c>
      <c r="L3">
        <v>0</v>
      </c>
      <c r="M3">
        <f t="shared" si="0"/>
        <v>0</v>
      </c>
      <c r="N3" s="3" t="s">
        <v>35</v>
      </c>
      <c r="P3">
        <v>0</v>
      </c>
      <c r="Q3">
        <v>2026</v>
      </c>
      <c r="R3" s="3" t="s">
        <v>10</v>
      </c>
    </row>
    <row r="4" spans="1:18" x14ac:dyDescent="0.3">
      <c r="A4" t="s">
        <v>16</v>
      </c>
      <c r="B4" t="s">
        <v>17</v>
      </c>
      <c r="C4" t="s">
        <v>18</v>
      </c>
      <c r="D4" s="4">
        <v>2250102030504</v>
      </c>
      <c r="E4">
        <v>100000</v>
      </c>
      <c r="F4" s="1">
        <v>46054</v>
      </c>
      <c r="G4" t="s">
        <v>10</v>
      </c>
      <c r="H4" t="s">
        <v>19</v>
      </c>
      <c r="I4">
        <v>500000</v>
      </c>
      <c r="J4">
        <f>L4*E4</f>
        <v>500000</v>
      </c>
      <c r="K4">
        <v>0</v>
      </c>
      <c r="L4">
        <v>5</v>
      </c>
      <c r="M4">
        <f t="shared" si="0"/>
        <v>500000</v>
      </c>
      <c r="N4" s="3"/>
      <c r="O4" t="s">
        <v>36</v>
      </c>
      <c r="P4">
        <v>50000</v>
      </c>
      <c r="Q4">
        <v>2025</v>
      </c>
      <c r="R4" s="3" t="s">
        <v>10</v>
      </c>
    </row>
    <row r="5" spans="1:18" x14ac:dyDescent="0.3">
      <c r="A5" t="s">
        <v>20</v>
      </c>
      <c r="B5" t="s">
        <v>21</v>
      </c>
      <c r="C5" t="s">
        <v>22</v>
      </c>
      <c r="D5" s="4">
        <v>2250401020503</v>
      </c>
      <c r="E5">
        <v>250000</v>
      </c>
      <c r="F5" s="1">
        <v>46054</v>
      </c>
      <c r="G5" t="s">
        <v>10</v>
      </c>
      <c r="H5" t="s">
        <v>23</v>
      </c>
      <c r="I5">
        <v>1000000</v>
      </c>
      <c r="J5">
        <f>L5*E5</f>
        <v>2500000</v>
      </c>
      <c r="K5">
        <v>0</v>
      </c>
      <c r="L5">
        <v>10</v>
      </c>
      <c r="M5">
        <f>J5</f>
        <v>2500000</v>
      </c>
      <c r="N5" s="3"/>
      <c r="O5" t="s">
        <v>37</v>
      </c>
      <c r="P5">
        <v>250000</v>
      </c>
      <c r="Q5" s="3" t="s">
        <v>38</v>
      </c>
      <c r="R5" s="3" t="s">
        <v>10</v>
      </c>
    </row>
    <row r="6" spans="1:18" x14ac:dyDescent="0.3">
      <c r="A6" t="s">
        <v>24</v>
      </c>
      <c r="B6" t="s">
        <v>25</v>
      </c>
      <c r="C6" t="s">
        <v>26</v>
      </c>
      <c r="D6" s="4">
        <v>2250104050706</v>
      </c>
      <c r="E6">
        <v>50000</v>
      </c>
      <c r="F6" s="1">
        <v>46054</v>
      </c>
      <c r="G6" t="s">
        <v>10</v>
      </c>
      <c r="H6" t="s">
        <v>27</v>
      </c>
      <c r="I6">
        <v>250000</v>
      </c>
      <c r="J6">
        <f>L6*E6</f>
        <v>0</v>
      </c>
      <c r="K6">
        <v>0</v>
      </c>
      <c r="L6">
        <v>0</v>
      </c>
      <c r="M6">
        <v>0</v>
      </c>
      <c r="N6" s="3"/>
      <c r="P6">
        <v>20000</v>
      </c>
      <c r="R6" s="3" t="s">
        <v>10</v>
      </c>
    </row>
    <row r="7" spans="1:18" x14ac:dyDescent="0.3">
      <c r="F7" s="1"/>
    </row>
    <row r="8" spans="1:18" x14ac:dyDescent="0.3">
      <c r="F8" s="1"/>
    </row>
    <row r="9" spans="1:18" x14ac:dyDescent="0.3">
      <c r="F9" s="1"/>
    </row>
    <row r="10" spans="1:18" x14ac:dyDescent="0.3">
      <c r="F10" s="1"/>
    </row>
    <row r="11" spans="1:18" x14ac:dyDescent="0.3">
      <c r="F11" s="1"/>
    </row>
    <row r="12" spans="1:18" x14ac:dyDescent="0.3">
      <c r="F12" s="1"/>
    </row>
    <row r="13" spans="1:18" x14ac:dyDescent="0.3">
      <c r="F13" s="1"/>
    </row>
    <row r="14" spans="1:18" x14ac:dyDescent="0.3">
      <c r="F14" s="1"/>
    </row>
    <row r="15" spans="1:18" x14ac:dyDescent="0.3">
      <c r="F15" s="1"/>
    </row>
    <row r="16" spans="1:18" x14ac:dyDescent="0.3">
      <c r="F16" s="1"/>
    </row>
    <row r="17" spans="6:6" x14ac:dyDescent="0.3">
      <c r="F17" s="1"/>
    </row>
    <row r="18" spans="6:6" x14ac:dyDescent="0.3">
      <c r="F18" s="1"/>
    </row>
    <row r="19" spans="6:6" x14ac:dyDescent="0.3">
      <c r="F19" s="1"/>
    </row>
    <row r="20" spans="6:6" x14ac:dyDescent="0.3">
      <c r="F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tenants_import_example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Rayann Doua</dc:creator>
  <cp:lastModifiedBy>Rayann Doua</cp:lastModifiedBy>
  <dcterms:created xsi:type="dcterms:W3CDTF">2026-05-08T09:18:28Z</dcterms:created>
  <dcterms:modified xsi:type="dcterms:W3CDTF">2026-05-08T10:09:11Z</dcterms:modified>
</cp:coreProperties>
</file>